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valen\OneDrive\Desktop\"/>
    </mc:Choice>
  </mc:AlternateContent>
  <xr:revisionPtr revIDLastSave="0" documentId="8_{F2489846-820D-477B-9222-B81275AB0214}" xr6:coauthVersionLast="47" xr6:coauthVersionMax="47" xr10:uidLastSave="{00000000-0000-0000-0000-000000000000}"/>
  <bookViews>
    <workbookView xWindow="-98" yWindow="-98" windowWidth="24496" windowHeight="15675" xr2:uid="{AE131EDE-0929-4333-86E7-0272F7D8B3DB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5" i="1"/>
  <c r="D20" i="1"/>
  <c r="D19" i="1"/>
  <c r="D18" i="1"/>
  <c r="C24" i="1"/>
  <c r="K5" i="1"/>
  <c r="K3" i="1"/>
  <c r="D5" i="1"/>
  <c r="I4" i="1" s="1"/>
  <c r="K4" i="1" s="1"/>
  <c r="C5" i="1"/>
  <c r="I3" i="1" s="1"/>
  <c r="E4" i="1"/>
  <c r="E3" i="1"/>
  <c r="E5" i="1" s="1"/>
  <c r="I6" i="1" s="1"/>
  <c r="K6" i="1" l="1"/>
  <c r="C12" i="1"/>
  <c r="F12" i="1" s="1"/>
</calcChain>
</file>

<file path=xl/sharedStrings.xml><?xml version="1.0" encoding="utf-8"?>
<sst xmlns="http://schemas.openxmlformats.org/spreadsheetml/2006/main" count="57" uniqueCount="44">
  <si>
    <t>Electricity Usage of Townhall 2025</t>
  </si>
  <si>
    <t>Electricity Cost 2025</t>
  </si>
  <si>
    <t>Category</t>
  </si>
  <si>
    <t>High Tariff</t>
  </si>
  <si>
    <t>Low Tariff</t>
  </si>
  <si>
    <t>Total</t>
  </si>
  <si>
    <t>Consumption</t>
  </si>
  <si>
    <t>Price incl. VAT</t>
  </si>
  <si>
    <t>Annual Costs</t>
  </si>
  <si>
    <t>Administration</t>
  </si>
  <si>
    <t>Apartments</t>
  </si>
  <si>
    <t>Basic Monthly Charge</t>
  </si>
  <si>
    <t>CO2 Ausstoss Rathaus</t>
  </si>
  <si>
    <t>Annual Consumptiun</t>
  </si>
  <si>
    <t>Unit</t>
  </si>
  <si>
    <t>Emission Factor</t>
  </si>
  <si>
    <t>CO2-Emissions</t>
  </si>
  <si>
    <t xml:space="preserve"> WWZ WasserSonnenStrom Mix</t>
  </si>
  <si>
    <t>kWh</t>
  </si>
  <si>
    <t>0.078 kg CO2-eq/kWh</t>
  </si>
  <si>
    <t>kg CO2-eq</t>
  </si>
  <si>
    <t>Wood chip district heating system</t>
  </si>
  <si>
    <t>0.025 kg CO2-eq/kWh</t>
  </si>
  <si>
    <t>Dieselgenerator</t>
  </si>
  <si>
    <t>L</t>
  </si>
  <si>
    <t xml:space="preserve">Wood Chips </t>
  </si>
  <si>
    <t>Price</t>
  </si>
  <si>
    <t>Total Cost</t>
  </si>
  <si>
    <t>M 40-55</t>
  </si>
  <si>
    <t>0.068 CHF/kWh</t>
  </si>
  <si>
    <t>M 25-35</t>
  </si>
  <si>
    <t>0.077 CHF/kWh</t>
  </si>
  <si>
    <t>M 15-20</t>
  </si>
  <si>
    <t>0.085 CHF/kWh</t>
  </si>
  <si>
    <t>Price Increase of Wood Chips form 2019-2025</t>
  </si>
  <si>
    <t>Incl. VAT</t>
  </si>
  <si>
    <t>M 40-55 Price</t>
  </si>
  <si>
    <t>0.054 CHF/kWh</t>
  </si>
  <si>
    <t>0.063 CHF/kWh</t>
  </si>
  <si>
    <t>M 25-35 Price</t>
  </si>
  <si>
    <t>0.061 CHF/kWh</t>
  </si>
  <si>
    <t>0.071 CHF/kWh</t>
  </si>
  <si>
    <t>M 15-20 Price</t>
  </si>
  <si>
    <t>0.079 CHF/kWh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</si>
</sst>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5C0F-A2E8-49F7-AF0D-1FD6A903DFE4}">
  <dimension ref="B1:K29"/>
  <sheetViews>
    <sheetView tabSelected="1" workbookViewId="0">
      <selection activeCell="F26" sqref="F26"/>
    </sheetView>
  </sheetViews>
  <sheetFormatPr defaultColWidth="11.42578125" defaultRowHeight="14.25"/>
  <cols>
    <col min="2" max="2" width="36.5703125" bestFit="1" customWidth="1"/>
    <col min="3" max="3" width="17.140625" bestFit="1" customWidth="1"/>
    <col min="4" max="4" width="14.5703125" customWidth="1"/>
    <col min="5" max="5" width="17.85546875" customWidth="1"/>
    <col min="6" max="6" width="15.7109375" customWidth="1"/>
    <col min="8" max="8" width="17.5703125" bestFit="1" customWidth="1"/>
    <col min="9" max="9" width="11.42578125" bestFit="1" customWidth="1"/>
    <col min="10" max="10" width="11.5703125" bestFit="1" customWidth="1"/>
    <col min="11" max="11" width="11" bestFit="1" customWidth="1"/>
  </cols>
  <sheetData>
    <row r="1" spans="2:11">
      <c r="B1" s="1" t="s">
        <v>0</v>
      </c>
      <c r="H1" t="s">
        <v>1</v>
      </c>
    </row>
    <row r="2" spans="2:11">
      <c r="B2" t="s">
        <v>2</v>
      </c>
      <c r="C2" t="s">
        <v>3</v>
      </c>
      <c r="D2" t="s">
        <v>4</v>
      </c>
      <c r="E2" t="s">
        <v>5</v>
      </c>
      <c r="H2" t="s">
        <v>2</v>
      </c>
      <c r="I2" s="2" t="s">
        <v>6</v>
      </c>
      <c r="J2" s="2" t="s">
        <v>7</v>
      </c>
      <c r="K2" t="s">
        <v>8</v>
      </c>
    </row>
    <row r="3" spans="2:11">
      <c r="B3" t="s">
        <v>9</v>
      </c>
      <c r="C3">
        <v>27243</v>
      </c>
      <c r="D3">
        <v>12133</v>
      </c>
      <c r="E3">
        <f>SUM(C3:D3)</f>
        <v>39376</v>
      </c>
      <c r="H3" t="s">
        <v>3</v>
      </c>
      <c r="I3">
        <f>C5</f>
        <v>28336</v>
      </c>
      <c r="J3">
        <v>0.3115</v>
      </c>
      <c r="K3">
        <f>I3*J3</f>
        <v>8826.6640000000007</v>
      </c>
    </row>
    <row r="4" spans="2:11">
      <c r="B4" t="s">
        <v>10</v>
      </c>
      <c r="C4">
        <v>1093</v>
      </c>
      <c r="D4">
        <v>681</v>
      </c>
      <c r="E4">
        <f>SUM(C4:D4)</f>
        <v>1774</v>
      </c>
      <c r="H4" t="s">
        <v>4</v>
      </c>
      <c r="I4">
        <f>D5</f>
        <v>12814</v>
      </c>
      <c r="J4">
        <v>0.28449999999999998</v>
      </c>
      <c r="K4">
        <f>I4*J4</f>
        <v>3645.5829999999996</v>
      </c>
    </row>
    <row r="5" spans="2:11">
      <c r="B5" t="s">
        <v>5</v>
      </c>
      <c r="C5">
        <f>SUM(C3:C4)</f>
        <v>28336</v>
      </c>
      <c r="D5">
        <f>SUM(D3:D4)</f>
        <v>12814</v>
      </c>
      <c r="E5">
        <f>SUM(E3:E4)</f>
        <v>41150</v>
      </c>
      <c r="H5" t="s">
        <v>11</v>
      </c>
      <c r="I5">
        <v>12</v>
      </c>
      <c r="J5">
        <v>6.16</v>
      </c>
      <c r="K5">
        <f>I5*J5</f>
        <v>73.92</v>
      </c>
    </row>
    <row r="6" spans="2:11">
      <c r="H6" t="s">
        <v>5</v>
      </c>
      <c r="I6">
        <f>E5</f>
        <v>41150</v>
      </c>
      <c r="K6" s="3">
        <f>K3+K4+K5</f>
        <v>12546.166999999999</v>
      </c>
    </row>
    <row r="10" spans="2:11">
      <c r="B10" s="1" t="s">
        <v>12</v>
      </c>
    </row>
    <row r="11" spans="2:11">
      <c r="C11" s="2" t="s">
        <v>13</v>
      </c>
      <c r="D11" s="2" t="s">
        <v>14</v>
      </c>
      <c r="E11" s="2" t="s">
        <v>15</v>
      </c>
      <c r="F11" s="2" t="s">
        <v>16</v>
      </c>
    </row>
    <row r="12" spans="2:11">
      <c r="B12" t="s">
        <v>17</v>
      </c>
      <c r="C12" s="2">
        <f>C5+D5</f>
        <v>41150</v>
      </c>
      <c r="D12" s="2" t="s">
        <v>18</v>
      </c>
      <c r="E12" s="2" t="s">
        <v>19</v>
      </c>
      <c r="F12" s="2">
        <f>0.078*C12</f>
        <v>3209.7</v>
      </c>
      <c r="G12" s="2" t="s">
        <v>20</v>
      </c>
    </row>
    <row r="13" spans="2:11">
      <c r="B13" t="s">
        <v>21</v>
      </c>
      <c r="C13" s="2">
        <v>189000</v>
      </c>
      <c r="D13" s="2" t="s">
        <v>18</v>
      </c>
      <c r="E13" s="4" t="s">
        <v>22</v>
      </c>
      <c r="F13" s="5">
        <f>189000*0.025</f>
        <v>4725</v>
      </c>
      <c r="G13" s="2" t="s">
        <v>20</v>
      </c>
    </row>
    <row r="14" spans="2:11">
      <c r="B14" t="s">
        <v>23</v>
      </c>
      <c r="C14" s="2">
        <v>0</v>
      </c>
      <c r="D14" s="2" t="s">
        <v>24</v>
      </c>
    </row>
    <row r="15" spans="2:11">
      <c r="B15" t="s">
        <v>5</v>
      </c>
      <c r="F15" s="6">
        <f>F13+F12</f>
        <v>7934.7</v>
      </c>
      <c r="G15" s="2" t="s">
        <v>20</v>
      </c>
    </row>
    <row r="17" spans="2:5">
      <c r="B17" t="s">
        <v>25</v>
      </c>
      <c r="C17" s="2" t="s">
        <v>26</v>
      </c>
      <c r="D17" s="2" t="s">
        <v>27</v>
      </c>
    </row>
    <row r="18" spans="2:5">
      <c r="B18" t="s">
        <v>28</v>
      </c>
      <c r="C18" t="s">
        <v>29</v>
      </c>
      <c r="D18">
        <f>0.068*189000</f>
        <v>12852.000000000002</v>
      </c>
    </row>
    <row r="19" spans="2:5">
      <c r="B19" t="s">
        <v>30</v>
      </c>
      <c r="C19" t="s">
        <v>31</v>
      </c>
      <c r="D19">
        <f>0.077*189000</f>
        <v>14553</v>
      </c>
    </row>
    <row r="20" spans="2:5">
      <c r="B20" t="s">
        <v>32</v>
      </c>
      <c r="C20" t="s">
        <v>33</v>
      </c>
      <c r="D20">
        <f>0.085*189000</f>
        <v>16065.000000000002</v>
      </c>
    </row>
    <row r="24" spans="2:5">
      <c r="B24" t="s">
        <v>34</v>
      </c>
      <c r="C24">
        <f>134.2/115.3</f>
        <v>1.1639202081526452</v>
      </c>
    </row>
    <row r="26" spans="2:5">
      <c r="C26">
        <v>2019</v>
      </c>
      <c r="D26">
        <v>2025</v>
      </c>
      <c r="E26" t="s">
        <v>35</v>
      </c>
    </row>
    <row r="27" spans="2:5">
      <c r="B27" t="s">
        <v>36</v>
      </c>
      <c r="C27" t="s">
        <v>37</v>
      </c>
      <c r="D27" t="s">
        <v>38</v>
      </c>
      <c r="E27" t="s">
        <v>29</v>
      </c>
    </row>
    <row r="28" spans="2:5">
      <c r="B28" t="s">
        <v>39</v>
      </c>
      <c r="C28" t="s">
        <v>40</v>
      </c>
      <c r="D28" t="s">
        <v>41</v>
      </c>
      <c r="E28" t="s">
        <v>31</v>
      </c>
    </row>
    <row r="29" spans="2:5">
      <c r="B29" t="s">
        <v>42</v>
      </c>
      <c r="C29" t="s">
        <v>29</v>
      </c>
      <c r="D29" t="s">
        <v>43</v>
      </c>
      <c r="E29" t="s">
        <v>33</v>
      </c>
    </row>
  </sheetData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0A4F1AC44CB4EB560212F955E51D2" ma:contentTypeVersion="10" ma:contentTypeDescription="Create a new document." ma:contentTypeScope="" ma:versionID="94a8bbc70be89987ef07544ae60710ae">
  <xsd:schema xmlns:xsd="http://www.w3.org/2001/XMLSchema" xmlns:xs="http://www.w3.org/2001/XMLSchema" xmlns:p="http://schemas.microsoft.com/office/2006/metadata/properties" xmlns:ns2="805fcb11-6279-4408-aff7-5b08bc7415b0" xmlns:ns3="905ff8d1-a636-43f6-8e32-5d559409d5eb" targetNamespace="http://schemas.microsoft.com/office/2006/metadata/properties" ma:root="true" ma:fieldsID="f470d2f601111aa214012900445c56fa" ns2:_="" ns3:_="">
    <xsd:import namespace="805fcb11-6279-4408-aff7-5b08bc7415b0"/>
    <xsd:import namespace="905ff8d1-a636-43f6-8e32-5d559409d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fcb11-6279-4408-aff7-5b08bc741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5ff8d1-a636-43f6-8e32-5d559409d5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14aa7a-3ccc-4674-be91-bf84f9fb448d}" ma:internalName="TaxCatchAll" ma:showField="CatchAllData" ma:web="905ff8d1-a636-43f6-8e32-5d559409d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5ff8d1-a636-43f6-8e32-5d559409d5eb" xsi:nil="true"/>
    <lcf76f155ced4ddcb4097134ff3c332f xmlns="805fcb11-6279-4408-aff7-5b08bc7415b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754412-BA51-430A-B831-56C7E774D3CE}"/>
</file>

<file path=customXml/itemProps2.xml><?xml version="1.0" encoding="utf-8"?>
<ds:datastoreItem xmlns:ds="http://schemas.openxmlformats.org/officeDocument/2006/customXml" ds:itemID="{5A29A69A-014D-48F4-A7F9-E55F4C18BF09}"/>
</file>

<file path=customXml/itemProps3.xml><?xml version="1.0" encoding="utf-8"?>
<ds:datastoreItem xmlns:ds="http://schemas.openxmlformats.org/officeDocument/2006/customXml" ds:itemID="{DD10C8FA-D21D-40FD-AB14-4867F8A9A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 Nägeli</dc:creator>
  <cp:keywords/>
  <dc:description/>
  <cp:lastModifiedBy>Valentin Nägeli</cp:lastModifiedBy>
  <cp:revision/>
  <dcterms:created xsi:type="dcterms:W3CDTF">2026-05-25T11:21:48Z</dcterms:created>
  <dcterms:modified xsi:type="dcterms:W3CDTF">2026-05-25T15:49:38Z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0x0101005B30A4F1AC44CB4EB560212F955E51D2</vt:lpwstr>
  </property>
  <property fmtid="{D5CDD505-2E9C-101B-9397-08002B2CF9AE}" pid="3" name="MediaServiceImageTags">
    <vt:lpwstr/>
  </property>
</Properties>
</file>